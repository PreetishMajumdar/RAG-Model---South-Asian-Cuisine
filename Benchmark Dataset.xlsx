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he University of Manchester\Subjects\Sem 2\COMP64702 Transforming Text Into Meaning\Coursework\BASE Model\"/>
    </mc:Choice>
  </mc:AlternateContent>
  <xr:revisionPtr revIDLastSave="0" documentId="13_ncr:1_{8CC82711-0D63-453D-BB40-75A7DB6C4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chmark_Data" sheetId="1" r:id="rId1"/>
    <sheet name="Distribution_Track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D27" i="2" s="1"/>
  <c r="C26" i="2"/>
  <c r="D26" i="2" s="1"/>
  <c r="C20" i="2"/>
  <c r="D20" i="2" s="1"/>
  <c r="C19" i="2"/>
  <c r="D19" i="2" s="1"/>
  <c r="C25" i="2"/>
  <c r="D25" i="2" s="1"/>
  <c r="C18" i="2"/>
  <c r="D18" i="2" s="1"/>
  <c r="C17" i="2"/>
  <c r="D17" i="2" s="1"/>
  <c r="C16" i="2"/>
  <c r="D16" i="2" s="1"/>
  <c r="C15" i="2"/>
  <c r="D15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</calcChain>
</file>

<file path=xl/sharedStrings.xml><?xml version="1.0" encoding="utf-8"?>
<sst xmlns="http://schemas.openxmlformats.org/spreadsheetml/2006/main" count="307" uniqueCount="169">
  <si>
    <t>id</t>
  </si>
  <si>
    <t>query</t>
  </si>
  <si>
    <t>gold_answer</t>
  </si>
  <si>
    <t>country</t>
  </si>
  <si>
    <t>subcategory</t>
  </si>
  <si>
    <t>category</t>
  </si>
  <si>
    <t>difficulty</t>
  </si>
  <si>
    <t>answer_type</t>
  </si>
  <si>
    <t>source_reference</t>
  </si>
  <si>
    <t>SA_001</t>
  </si>
  <si>
    <t>SA_002</t>
  </si>
  <si>
    <t>SA_003</t>
  </si>
  <si>
    <t>SA_004</t>
  </si>
  <si>
    <t>SA_005</t>
  </si>
  <si>
    <t>SA_006</t>
  </si>
  <si>
    <t>SA_007</t>
  </si>
  <si>
    <t>SA_008</t>
  </si>
  <si>
    <t>SA_009</t>
  </si>
  <si>
    <t>SA_010</t>
  </si>
  <si>
    <t>SA_011</t>
  </si>
  <si>
    <t>SA_012</t>
  </si>
  <si>
    <t>SA_013</t>
  </si>
  <si>
    <t>SA_014</t>
  </si>
  <si>
    <t>SA_015</t>
  </si>
  <si>
    <t>SA_016</t>
  </si>
  <si>
    <t>SA_017</t>
  </si>
  <si>
    <t>SA_018</t>
  </si>
  <si>
    <t>SA_019</t>
  </si>
  <si>
    <t>SA_020</t>
  </si>
  <si>
    <t>SA_021</t>
  </si>
  <si>
    <t>SA_022</t>
  </si>
  <si>
    <t>SA_023</t>
  </si>
  <si>
    <t>SA_024</t>
  </si>
  <si>
    <t>SA_025</t>
  </si>
  <si>
    <t>SA_026</t>
  </si>
  <si>
    <t>SA_027</t>
  </si>
  <si>
    <t>SA_028</t>
  </si>
  <si>
    <t>SA_029</t>
  </si>
  <si>
    <t>SA_030</t>
  </si>
  <si>
    <t>Country Distribution</t>
  </si>
  <si>
    <t>Country</t>
  </si>
  <si>
    <t>Target</t>
  </si>
  <si>
    <t>Current</t>
  </si>
  <si>
    <t>Remaining</t>
  </si>
  <si>
    <t>India</t>
  </si>
  <si>
    <t>Pakistan</t>
  </si>
  <si>
    <t>Bangladesh</t>
  </si>
  <si>
    <t>Sri Lanka</t>
  </si>
  <si>
    <t>Nepal</t>
  </si>
  <si>
    <t>Afghanistan</t>
  </si>
  <si>
    <t>Maldives</t>
  </si>
  <si>
    <t>Bhutan</t>
  </si>
  <si>
    <t>Category Distribution</t>
  </si>
  <si>
    <t>Category</t>
  </si>
  <si>
    <t>Ingredient</t>
  </si>
  <si>
    <t>Cooking Method</t>
  </si>
  <si>
    <t>Cultural</t>
  </si>
  <si>
    <t>Definition</t>
  </si>
  <si>
    <t>Comparison</t>
  </si>
  <si>
    <t>Multi-hop</t>
  </si>
  <si>
    <t>Difficulty Distribution</t>
  </si>
  <si>
    <t>Difficulty</t>
  </si>
  <si>
    <t>easy</t>
  </si>
  <si>
    <t>medium</t>
  </si>
  <si>
    <t>hard</t>
  </si>
  <si>
    <t>What are the main spices used in Hyderabadi Dum Biryani?</t>
  </si>
  <si>
    <t>Hyderabadi Dum Biryani typically includes basmati rice, yogurt, saffron, cardamom, cloves, cinnamon, and garam masala.</t>
  </si>
  <si>
    <t>Hyderabadi cuisine</t>
  </si>
  <si>
    <t>extractive</t>
  </si>
  <si>
    <t>Wikipedia - Hyderabadi Dum Biryani</t>
  </si>
  <si>
    <t>How is naan traditionally cooked?</t>
  </si>
  <si>
    <t>Naan is traditionally cooked in a tandoor, a cylindrical clay oven that uses high heat.</t>
  </si>
  <si>
    <t>Punjabi cuisine</t>
  </si>
  <si>
    <t>Wikipedia - Naan</t>
  </si>
  <si>
    <t>What is the main staple food in Bangladeshi cuisine?</t>
  </si>
  <si>
    <t>Rice is the primary staple food in Bangladeshi cuisine and is commonly served with various curries.</t>
  </si>
  <si>
    <t>Bengali cuisine</t>
  </si>
  <si>
    <t>What is dal-bhat-tarkari?</t>
  </si>
  <si>
    <t>Dal-bhat-tarkari is a traditional Nepali meal consisting of lentil soup (dal), rice (bhat), and vegetable curry (tarkari).</t>
  </si>
  <si>
    <t>Nepalese cuisine</t>
  </si>
  <si>
    <t>What ingredients form the base of traditional Maldivian cuisine?</t>
  </si>
  <si>
    <t>Traditional Maldivian cuisine is based primarily on fish, coconut, and starches such as rice and bread.</t>
  </si>
  <si>
    <t>Maldivian cuisine</t>
  </si>
  <si>
    <t>What is Ema Datshi and what are its main ingredients?</t>
  </si>
  <si>
    <t>Ema Datshi is Bhutan’s national dish made mainly from chili peppers and cheese, often served with red rice.</t>
  </si>
  <si>
    <t>Bhutanese cuisine</t>
  </si>
  <si>
    <t>How has Mughal influence shaped Pakistani cuisine?</t>
  </si>
  <si>
    <t>Pakistani cuisine inherited many rich meat dishes and aromatic rice preparations from the Mughal era.</t>
  </si>
  <si>
    <t>Mughlai cuisine</t>
  </si>
  <si>
    <t>multi_chunk</t>
  </si>
  <si>
    <t>What type of rice is commonly used in Afghan Kabuli palaw?</t>
  </si>
  <si>
    <t>Kabuli palaw is typically prepared using long-grain rice, often basmati rice.</t>
  </si>
  <si>
    <t>Afghan cuisine</t>
  </si>
  <si>
    <t>How does Sindhi biryani differ from Hyderabadi biryani?</t>
  </si>
  <si>
    <t>Sindhi biryani is known for its spicy and tangy flavor and often includes potatoes, while Hyderabadi biryani emphasizes aromatic basmati rice and the dum cooking method.</t>
  </si>
  <si>
    <t>Sindhi cuisine</t>
  </si>
  <si>
    <t>How does Sri Lankan rice and curry differ from a North Indian thali?</t>
  </si>
  <si>
    <t>Sri Lankan rice and curry typically features coconut-based curries and stronger spice profiles, while North Indian thali often includes wheat-based breads and dairy-rich dishes.</t>
  </si>
  <si>
    <t>Sri Lankan cuisine</t>
  </si>
  <si>
    <t>Wikipedia - Bangladeshi cuisine</t>
  </si>
  <si>
    <t>Wikipedia - Nepalese cuisine</t>
  </si>
  <si>
    <t>Wikipedia - Maldivian cuisine</t>
  </si>
  <si>
    <t>Wikipedia - Bhutanese cuisine</t>
  </si>
  <si>
    <t>Wikipedia - Pakistani cuisine</t>
  </si>
  <si>
    <t>Wikipedia - Afghan cuisine</t>
  </si>
  <si>
    <t>Wikipedia - Sindhi biryani &amp; Hyderabadi biryani</t>
  </si>
  <si>
    <t>Wikipedia - Sri Lankan cuisine &amp; North Indian cuisine</t>
  </si>
  <si>
    <t>What vegetables are typically used in Aloo Gobi?</t>
  </si>
  <si>
    <t>Aloo Gobi typically includes potatoes, cauliflower, turmeric, cumin, and other Indian spices.</t>
  </si>
  <si>
    <t>North Indian cuisine</t>
  </si>
  <si>
    <t>Wikibooks - Cookbook:Aloo Gobi</t>
  </si>
  <si>
    <t>Why is vegetarianism widely practiced in Indian cuisine?</t>
  </si>
  <si>
    <t>Vegetarianism is widely practiced in Indian cuisine due to religious beliefs, particularly in Hinduism and Jainism, which influence dietary practices.</t>
  </si>
  <si>
    <t>Indian cuisine</t>
  </si>
  <si>
    <t>Wikipedia - Indian cuisine</t>
  </si>
  <si>
    <t>What is the dum cooking method used in Hyderabadi cuisine?</t>
  </si>
  <si>
    <t>The dum cooking method involves slow-cooking food in a sealed container using steam, allowing flavors to develop gradually.</t>
  </si>
  <si>
    <t>Wikipedia - Hyderabadi cuisine</t>
  </si>
  <si>
    <t>How does regional diversity influence staple grains used across Indian cuisines?</t>
  </si>
  <si>
    <t>Northern Indian cuisines commonly use wheat-based breads, while southern Indian cuisines rely more heavily on rice as a staple grain.</t>
  </si>
  <si>
    <t>Regional Indian cuisines</t>
  </si>
  <si>
    <t>Wikipedia - North Indian cuisine &amp; South Indian cuisine</t>
  </si>
  <si>
    <t>How does Mughlai cuisine differ from traditional South Indian cuisine?</t>
  </si>
  <si>
    <t>Mughlai cuisine emphasizes rich, meat-based dishes with dairy and aromatic spices, whereas traditional South Indian cuisine relies more on rice, lentils, coconut, and vegetarian preparations.</t>
  </si>
  <si>
    <t>Mughlai vs South Indian cuisine</t>
  </si>
  <si>
    <t>Wikipedia - Mughlai cuisine &amp; South Indian cuisine</t>
  </si>
  <si>
    <t>How do staple grains differ between North Indian and South Indian cuisines?</t>
  </si>
  <si>
    <t>North Indian cuisines primarily use wheat-based breads such as roti and naan, whereas South Indian cuisines rely predominantly on rice as the staple grain.</t>
  </si>
  <si>
    <t>How does Mughal influence appear in both ingredients and cooking style within Indian cuisine?</t>
  </si>
  <si>
    <t>Mughal influence appears through the use of rich ingredients such as meat, dairy, and aromatic spices, along with slow-cooking techniques that enhance flavor development.</t>
  </si>
  <si>
    <t>Wikipedia - Mughlai cuisine &amp; Wikibooks recipes</t>
  </si>
  <si>
    <t>How does the use of coconut in South Indian cuisine contrast with its usage in North Indian cuisine?</t>
  </si>
  <si>
    <t>South Indian cuisine frequently incorporates coconut in curries and chutneys, whereas coconut is used far less extensively in North Indian cuisine.</t>
  </si>
  <si>
    <t>South vs North Indian cuisine</t>
  </si>
  <si>
    <t>Wikipedia - South Indian cuisine &amp; North Indian cuisine</t>
  </si>
  <si>
    <t>How does the tandoor cooking technique influence the texture and flavor of Indian breads and meats?</t>
  </si>
  <si>
    <t>The tandoor uses high heat in a clay oven, which creates a charred exterior while keeping the interior soft and flavorful in breads and meats.</t>
  </si>
  <si>
    <t>Wikipedia - Tandoor &amp; Indian cuisine</t>
  </si>
  <si>
    <t>How have religious dietary practices influenced the diversity of vegetarian dishes in Indian cuisine?</t>
  </si>
  <si>
    <t>Religious traditions such as Hinduism and Jainism encourage vegetarianism, leading to the development of a wide variety of plant-based dishes across Indian cuisines.</t>
  </si>
  <si>
    <t>Wikipedia - Indian cuisine &amp; Jain vegetarianism</t>
  </si>
  <si>
    <t>How do staple grains and primary cooking fats differ between North and South Indian cuisines?</t>
  </si>
  <si>
    <t>North Indian cuisine commonly uses wheat-based breads and dairy fats like ghee, while South Indian cuisine relies more on rice and coconut-based oils.</t>
  </si>
  <si>
    <t>How is South Indian cuisine described in terms of flavor profile and ingredient emphasis in the Around the World in 80 Cuisines blog?</t>
  </si>
  <si>
    <t>The blog describes South Indian cuisine as highly aromatic and spice-forward, with significant use of coconut, rice, and lentils forming the foundation of many dishes.</t>
  </si>
  <si>
    <t>South Indian cuisine</t>
  </si>
  <si>
    <t>Around the World in 80 Cuisines - South Indian category</t>
  </si>
  <si>
    <t>What are the key preparation steps in making Chicken Tikka Masala according to Wikibooks?</t>
  </si>
  <si>
    <t>The preparation involves marinating the chicken in yogurt and spices, grilling or roasting it, and then simmering it in a spiced tomato-based sauce before serving.</t>
  </si>
  <si>
    <t>Wikibooks - Cookbook:Chicken Tikka Masala</t>
  </si>
  <si>
    <t>How do staple grains differ between Bhutanese and Bangladeshi cuisines?</t>
  </si>
  <si>
    <t>Bhutanese cuisine commonly uses red rice grown at high altitudes, while Bangladeshi cuisine primarily relies on white rice as its staple grain.</t>
  </si>
  <si>
    <t>Cross-country</t>
  </si>
  <si>
    <t>Wikipedia - Bhutanese cuisine &amp; Bangladeshi cuisine</t>
  </si>
  <si>
    <t>How does the use of seafood reflect Bangladesh’s riverine geography?</t>
  </si>
  <si>
    <t>Bangladesh’s riverine geography supports widespread consumption of freshwater fish such as hilsa, which is central to its cuisine.</t>
  </si>
  <si>
    <t>What preparation method is used in making traditional Afghan kebabs?</t>
  </si>
  <si>
    <t>Afghan kebabs are typically grilled over open flames, often seasoned with simple spices and served with bread or rice.</t>
  </si>
  <si>
    <t>How does Sri Lankan cuisine reflect South Indian culinary influence?</t>
  </si>
  <si>
    <t>Sri Lankan cuisine reflects South Indian influence through the use of rice, lentils, and coconut-based curries.</t>
  </si>
  <si>
    <t>Wikipedia - Sri Lankan cuisine</t>
  </si>
  <si>
    <t>What distinguishes Chapli kebab from other Pakistani kebabs?</t>
  </si>
  <si>
    <t>Chapli kebab is distinguished by its flat, round shape and use of minced meat mixed with spices and herbs before frying.</t>
  </si>
  <si>
    <t>Pashtun cuisine</t>
  </si>
  <si>
    <t>How do cooking fats differ between North Indian and South Indian cuisines?</t>
  </si>
  <si>
    <t>North Indian cuisine frequently uses ghee and dairy fats, while South Indian cuisine more commonly uses coconut oil.</t>
  </si>
  <si>
    <t>Wikipedia - North &amp; South Indian cuisine</t>
  </si>
  <si>
    <t>How does Maldivian cuisine reflect reliance on marine resources?</t>
  </si>
  <si>
    <t>Maldivian cuisine heavily relies on fish as a primary protein source, often combined with coconut and starches.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</si>
</sst>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CCCC"/>
          <bgColor rgb="FFFFCCCC"/>
        </patternFill>
      </fill>
    </dxf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C8" sqref="C8"/>
    </sheetView>
  </sheetViews>
  <sheetFormatPr defaultRowHeight="15" x14ac:dyDescent="0.25"/>
  <cols>
    <col min="2" max="2" width="54.140625" bestFit="1" customWidth="1"/>
    <col min="3" max="3" width="110.42578125" bestFit="1" customWidth="1"/>
    <col min="4" max="4" width="11.5703125" bestFit="1" customWidth="1"/>
    <col min="5" max="5" width="19.140625" bestFit="1" customWidth="1"/>
    <col min="6" max="6" width="15.7109375" bestFit="1" customWidth="1"/>
    <col min="7" max="7" width="9" bestFit="1" customWidth="1"/>
    <col min="8" max="8" width="12.42578125" bestFit="1" customWidth="1"/>
    <col min="9" max="9" width="48.57031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x14ac:dyDescent="0.25">
      <c r="A2" t="s">
        <v>9</v>
      </c>
      <c r="B2" t="s">
        <v>65</v>
      </c>
      <c r="C2" t="s">
        <v>66</v>
      </c>
      <c r="D2" t="s">
        <v>44</v>
      </c>
      <c r="E2" t="s">
        <v>67</v>
      </c>
      <c r="F2" t="s">
        <v>54</v>
      </c>
      <c r="G2" t="s">
        <v>62</v>
      </c>
      <c r="H2" t="s">
        <v>68</v>
      </c>
      <c r="I2" t="s">
        <v>69</v>
      </c>
    </row>
    <row r="3" spans="1:10" x14ac:dyDescent="0.25">
      <c r="A3" t="s">
        <v>10</v>
      </c>
      <c r="B3" t="s">
        <v>70</v>
      </c>
      <c r="C3" t="s">
        <v>71</v>
      </c>
      <c r="D3" t="s">
        <v>44</v>
      </c>
      <c r="E3" t="s">
        <v>72</v>
      </c>
      <c r="F3" t="s">
        <v>55</v>
      </c>
      <c r="G3" t="s">
        <v>62</v>
      </c>
      <c r="H3" t="s">
        <v>68</v>
      </c>
      <c r="I3" t="s">
        <v>73</v>
      </c>
    </row>
    <row r="4" spans="1:10" x14ac:dyDescent="0.25">
      <c r="A4" t="s">
        <v>11</v>
      </c>
      <c r="B4" t="s">
        <v>74</v>
      </c>
      <c r="C4" t="s">
        <v>75</v>
      </c>
      <c r="D4" t="s">
        <v>46</v>
      </c>
      <c r="E4" t="s">
        <v>76</v>
      </c>
      <c r="F4" t="s">
        <v>54</v>
      </c>
      <c r="G4" t="s">
        <v>62</v>
      </c>
      <c r="H4" t="s">
        <v>68</v>
      </c>
      <c r="I4" t="s">
        <v>99</v>
      </c>
    </row>
    <row r="5" spans="1:10" x14ac:dyDescent="0.25">
      <c r="A5" t="s">
        <v>12</v>
      </c>
      <c r="B5" t="s">
        <v>77</v>
      </c>
      <c r="C5" t="s">
        <v>78</v>
      </c>
      <c r="D5" t="s">
        <v>48</v>
      </c>
      <c r="E5" t="s">
        <v>79</v>
      </c>
      <c r="F5" t="s">
        <v>57</v>
      </c>
      <c r="G5" t="s">
        <v>62</v>
      </c>
      <c r="H5" t="s">
        <v>68</v>
      </c>
      <c r="I5" t="s">
        <v>100</v>
      </c>
    </row>
    <row r="6" spans="1:10" x14ac:dyDescent="0.25">
      <c r="A6" t="s">
        <v>13</v>
      </c>
      <c r="B6" t="s">
        <v>80</v>
      </c>
      <c r="C6" t="s">
        <v>81</v>
      </c>
      <c r="D6" t="s">
        <v>50</v>
      </c>
      <c r="E6" t="s">
        <v>82</v>
      </c>
      <c r="F6" t="s">
        <v>54</v>
      </c>
      <c r="G6" t="s">
        <v>63</v>
      </c>
      <c r="H6" t="s">
        <v>68</v>
      </c>
      <c r="I6" t="s">
        <v>101</v>
      </c>
    </row>
    <row r="7" spans="1:10" x14ac:dyDescent="0.25">
      <c r="A7" t="s">
        <v>14</v>
      </c>
      <c r="B7" t="s">
        <v>83</v>
      </c>
      <c r="C7" t="s">
        <v>84</v>
      </c>
      <c r="D7" t="s">
        <v>51</v>
      </c>
      <c r="E7" t="s">
        <v>85</v>
      </c>
      <c r="F7" t="s">
        <v>57</v>
      </c>
      <c r="G7" t="s">
        <v>63</v>
      </c>
      <c r="H7" t="s">
        <v>68</v>
      </c>
      <c r="I7" t="s">
        <v>102</v>
      </c>
    </row>
    <row r="8" spans="1:10" x14ac:dyDescent="0.25">
      <c r="A8" t="s">
        <v>15</v>
      </c>
      <c r="B8" t="s">
        <v>86</v>
      </c>
      <c r="C8" t="s">
        <v>87</v>
      </c>
      <c r="D8" t="s">
        <v>45</v>
      </c>
      <c r="E8" t="s">
        <v>88</v>
      </c>
      <c r="F8" t="s">
        <v>56</v>
      </c>
      <c r="G8" t="s">
        <v>63</v>
      </c>
      <c r="H8" t="s">
        <v>89</v>
      </c>
      <c r="I8" t="s">
        <v>103</v>
      </c>
    </row>
    <row r="9" spans="1:10" x14ac:dyDescent="0.25">
      <c r="A9" t="s">
        <v>16</v>
      </c>
      <c r="B9" t="s">
        <v>90</v>
      </c>
      <c r="C9" t="s">
        <v>91</v>
      </c>
      <c r="D9" t="s">
        <v>49</v>
      </c>
      <c r="E9" t="s">
        <v>92</v>
      </c>
      <c r="F9" t="s">
        <v>54</v>
      </c>
      <c r="G9" t="s">
        <v>63</v>
      </c>
      <c r="H9" t="s">
        <v>68</v>
      </c>
      <c r="I9" t="s">
        <v>104</v>
      </c>
    </row>
    <row r="10" spans="1:10" x14ac:dyDescent="0.25">
      <c r="A10" t="s">
        <v>17</v>
      </c>
      <c r="B10" t="s">
        <v>93</v>
      </c>
      <c r="C10" t="s">
        <v>94</v>
      </c>
      <c r="D10" t="s">
        <v>45</v>
      </c>
      <c r="E10" t="s">
        <v>95</v>
      </c>
      <c r="F10" t="s">
        <v>58</v>
      </c>
      <c r="G10" t="s">
        <v>64</v>
      </c>
      <c r="H10" t="s">
        <v>89</v>
      </c>
      <c r="I10" t="s">
        <v>105</v>
      </c>
    </row>
    <row r="11" spans="1:10" x14ac:dyDescent="0.25">
      <c r="A11" t="s">
        <v>18</v>
      </c>
      <c r="B11" t="s">
        <v>96</v>
      </c>
      <c r="C11" t="s">
        <v>97</v>
      </c>
      <c r="D11" t="s">
        <v>47</v>
      </c>
      <c r="E11" t="s">
        <v>98</v>
      </c>
      <c r="F11" t="s">
        <v>58</v>
      </c>
      <c r="G11" t="s">
        <v>64</v>
      </c>
      <c r="H11" t="s">
        <v>89</v>
      </c>
      <c r="I11" t="s">
        <v>106</v>
      </c>
    </row>
    <row r="12" spans="1:10" x14ac:dyDescent="0.25">
      <c r="A12" t="s">
        <v>19</v>
      </c>
      <c r="B12" t="s">
        <v>107</v>
      </c>
      <c r="C12" t="s">
        <v>108</v>
      </c>
      <c r="D12" t="s">
        <v>44</v>
      </c>
      <c r="E12" t="s">
        <v>109</v>
      </c>
      <c r="F12" t="s">
        <v>54</v>
      </c>
      <c r="G12" t="s">
        <v>62</v>
      </c>
      <c r="H12" t="s">
        <v>68</v>
      </c>
      <c r="I12" t="s">
        <v>110</v>
      </c>
    </row>
    <row r="13" spans="1:10" x14ac:dyDescent="0.25">
      <c r="A13" t="s">
        <v>20</v>
      </c>
      <c r="B13" t="s">
        <v>111</v>
      </c>
      <c r="C13" t="s">
        <v>112</v>
      </c>
      <c r="D13" t="s">
        <v>44</v>
      </c>
      <c r="E13" t="s">
        <v>113</v>
      </c>
      <c r="F13" t="s">
        <v>56</v>
      </c>
      <c r="G13" t="s">
        <v>63</v>
      </c>
      <c r="H13" t="s">
        <v>68</v>
      </c>
      <c r="I13" t="s">
        <v>114</v>
      </c>
    </row>
    <row r="14" spans="1:10" x14ac:dyDescent="0.25">
      <c r="A14" t="s">
        <v>21</v>
      </c>
      <c r="B14" t="s">
        <v>115</v>
      </c>
      <c r="C14" t="s">
        <v>116</v>
      </c>
      <c r="D14" t="s">
        <v>44</v>
      </c>
      <c r="E14" t="s">
        <v>67</v>
      </c>
      <c r="F14" t="s">
        <v>55</v>
      </c>
      <c r="G14" t="s">
        <v>63</v>
      </c>
      <c r="H14" t="s">
        <v>68</v>
      </c>
      <c r="I14" t="s">
        <v>117</v>
      </c>
    </row>
    <row r="15" spans="1:10" x14ac:dyDescent="0.25">
      <c r="A15" t="s">
        <v>22</v>
      </c>
      <c r="B15" t="s">
        <v>118</v>
      </c>
      <c r="C15" t="s">
        <v>119</v>
      </c>
      <c r="D15" t="s">
        <v>44</v>
      </c>
      <c r="E15" t="s">
        <v>120</v>
      </c>
      <c r="F15" t="s">
        <v>59</v>
      </c>
      <c r="G15" t="s">
        <v>64</v>
      </c>
      <c r="H15" t="s">
        <v>89</v>
      </c>
      <c r="I15" t="s">
        <v>121</v>
      </c>
    </row>
    <row r="16" spans="1:10" x14ac:dyDescent="0.25">
      <c r="A16" t="s">
        <v>23</v>
      </c>
      <c r="B16" t="s">
        <v>122</v>
      </c>
      <c r="C16" t="s">
        <v>123</v>
      </c>
      <c r="D16" t="s">
        <v>44</v>
      </c>
      <c r="E16" t="s">
        <v>124</v>
      </c>
      <c r="F16" t="s">
        <v>58</v>
      </c>
      <c r="G16" t="s">
        <v>64</v>
      </c>
      <c r="H16" t="s">
        <v>89</v>
      </c>
      <c r="I16" t="s">
        <v>125</v>
      </c>
    </row>
    <row r="17" spans="1:9" x14ac:dyDescent="0.25">
      <c r="A17" t="s">
        <v>24</v>
      </c>
      <c r="B17" t="s">
        <v>126</v>
      </c>
      <c r="C17" t="s">
        <v>127</v>
      </c>
      <c r="D17" t="s">
        <v>44</v>
      </c>
      <c r="E17" t="s">
        <v>120</v>
      </c>
      <c r="F17" t="s">
        <v>59</v>
      </c>
      <c r="G17" t="s">
        <v>64</v>
      </c>
      <c r="H17" t="s">
        <v>89</v>
      </c>
      <c r="I17" t="s">
        <v>121</v>
      </c>
    </row>
    <row r="18" spans="1:9" x14ac:dyDescent="0.25">
      <c r="A18" t="s">
        <v>25</v>
      </c>
      <c r="B18" t="s">
        <v>128</v>
      </c>
      <c r="C18" t="s">
        <v>129</v>
      </c>
      <c r="D18" t="s">
        <v>44</v>
      </c>
      <c r="E18" t="s">
        <v>88</v>
      </c>
      <c r="F18" t="s">
        <v>59</v>
      </c>
      <c r="G18" t="s">
        <v>64</v>
      </c>
      <c r="H18" t="s">
        <v>89</v>
      </c>
      <c r="I18" t="s">
        <v>130</v>
      </c>
    </row>
    <row r="19" spans="1:9" x14ac:dyDescent="0.25">
      <c r="A19" t="s">
        <v>26</v>
      </c>
      <c r="B19" t="s">
        <v>131</v>
      </c>
      <c r="C19" t="s">
        <v>132</v>
      </c>
      <c r="D19" t="s">
        <v>44</v>
      </c>
      <c r="E19" t="s">
        <v>133</v>
      </c>
      <c r="F19" t="s">
        <v>58</v>
      </c>
      <c r="G19" t="s">
        <v>64</v>
      </c>
      <c r="H19" t="s">
        <v>89</v>
      </c>
      <c r="I19" t="s">
        <v>134</v>
      </c>
    </row>
    <row r="20" spans="1:9" x14ac:dyDescent="0.25">
      <c r="A20" t="s">
        <v>27</v>
      </c>
      <c r="B20" t="s">
        <v>135</v>
      </c>
      <c r="C20" t="s">
        <v>136</v>
      </c>
      <c r="D20" t="s">
        <v>44</v>
      </c>
      <c r="E20" t="s">
        <v>109</v>
      </c>
      <c r="F20" t="s">
        <v>55</v>
      </c>
      <c r="G20" t="s">
        <v>63</v>
      </c>
      <c r="H20" t="s">
        <v>89</v>
      </c>
      <c r="I20" t="s">
        <v>137</v>
      </c>
    </row>
    <row r="21" spans="1:9" x14ac:dyDescent="0.25">
      <c r="A21" t="s">
        <v>28</v>
      </c>
      <c r="B21" t="s">
        <v>138</v>
      </c>
      <c r="C21" t="s">
        <v>139</v>
      </c>
      <c r="D21" t="s">
        <v>44</v>
      </c>
      <c r="E21" t="s">
        <v>113</v>
      </c>
      <c r="F21" t="s">
        <v>56</v>
      </c>
      <c r="G21" t="s">
        <v>64</v>
      </c>
      <c r="H21" t="s">
        <v>89</v>
      </c>
      <c r="I21" t="s">
        <v>140</v>
      </c>
    </row>
    <row r="22" spans="1:9" x14ac:dyDescent="0.25">
      <c r="A22" t="s">
        <v>29</v>
      </c>
      <c r="B22" t="s">
        <v>141</v>
      </c>
      <c r="C22" t="s">
        <v>142</v>
      </c>
      <c r="D22" t="s">
        <v>44</v>
      </c>
      <c r="E22" t="s">
        <v>120</v>
      </c>
      <c r="F22" t="s">
        <v>59</v>
      </c>
      <c r="G22" t="s">
        <v>64</v>
      </c>
      <c r="H22" t="s">
        <v>89</v>
      </c>
      <c r="I22" t="s">
        <v>121</v>
      </c>
    </row>
    <row r="23" spans="1:9" x14ac:dyDescent="0.25">
      <c r="A23" t="s">
        <v>30</v>
      </c>
      <c r="B23" t="s">
        <v>143</v>
      </c>
      <c r="C23" t="s">
        <v>144</v>
      </c>
      <c r="D23" t="s">
        <v>44</v>
      </c>
      <c r="E23" t="s">
        <v>145</v>
      </c>
      <c r="F23" t="s">
        <v>56</v>
      </c>
      <c r="G23" t="s">
        <v>64</v>
      </c>
      <c r="H23" t="s">
        <v>89</v>
      </c>
      <c r="I23" t="s">
        <v>146</v>
      </c>
    </row>
    <row r="24" spans="1:9" x14ac:dyDescent="0.25">
      <c r="A24" t="s">
        <v>31</v>
      </c>
      <c r="B24" t="s">
        <v>147</v>
      </c>
      <c r="C24" t="s">
        <v>148</v>
      </c>
      <c r="D24" t="s">
        <v>44</v>
      </c>
      <c r="E24" t="s">
        <v>113</v>
      </c>
      <c r="F24" t="s">
        <v>55</v>
      </c>
      <c r="G24" t="s">
        <v>64</v>
      </c>
      <c r="H24" t="s">
        <v>89</v>
      </c>
      <c r="I24" t="s">
        <v>149</v>
      </c>
    </row>
    <row r="25" spans="1:9" x14ac:dyDescent="0.25">
      <c r="A25" t="s">
        <v>32</v>
      </c>
      <c r="B25" t="s">
        <v>150</v>
      </c>
      <c r="C25" t="s">
        <v>151</v>
      </c>
      <c r="D25" t="s">
        <v>46</v>
      </c>
      <c r="E25" t="s">
        <v>152</v>
      </c>
      <c r="F25" t="s">
        <v>59</v>
      </c>
      <c r="G25" t="s">
        <v>64</v>
      </c>
      <c r="H25" t="s">
        <v>89</v>
      </c>
      <c r="I25" t="s">
        <v>153</v>
      </c>
    </row>
    <row r="26" spans="1:9" x14ac:dyDescent="0.25">
      <c r="A26" t="s">
        <v>33</v>
      </c>
      <c r="B26" t="s">
        <v>154</v>
      </c>
      <c r="C26" t="s">
        <v>155</v>
      </c>
      <c r="D26" t="s">
        <v>46</v>
      </c>
      <c r="E26" t="s">
        <v>76</v>
      </c>
      <c r="F26" t="s">
        <v>56</v>
      </c>
      <c r="G26" t="s">
        <v>63</v>
      </c>
      <c r="H26" t="s">
        <v>68</v>
      </c>
      <c r="I26" t="s">
        <v>99</v>
      </c>
    </row>
    <row r="27" spans="1:9" x14ac:dyDescent="0.25">
      <c r="A27" t="s">
        <v>34</v>
      </c>
      <c r="B27" t="s">
        <v>156</v>
      </c>
      <c r="C27" t="s">
        <v>157</v>
      </c>
      <c r="D27" t="s">
        <v>49</v>
      </c>
      <c r="E27" t="s">
        <v>92</v>
      </c>
      <c r="F27" t="s">
        <v>55</v>
      </c>
      <c r="G27" t="s">
        <v>63</v>
      </c>
      <c r="H27" t="s">
        <v>68</v>
      </c>
      <c r="I27" t="s">
        <v>104</v>
      </c>
    </row>
    <row r="28" spans="1:9" x14ac:dyDescent="0.25">
      <c r="A28" t="s">
        <v>35</v>
      </c>
      <c r="B28" t="s">
        <v>158</v>
      </c>
      <c r="C28" t="s">
        <v>159</v>
      </c>
      <c r="D28" t="s">
        <v>47</v>
      </c>
      <c r="E28" t="s">
        <v>98</v>
      </c>
      <c r="F28" t="s">
        <v>56</v>
      </c>
      <c r="G28" t="s">
        <v>63</v>
      </c>
      <c r="H28" t="s">
        <v>89</v>
      </c>
      <c r="I28" t="s">
        <v>160</v>
      </c>
    </row>
    <row r="29" spans="1:9" x14ac:dyDescent="0.25">
      <c r="A29" t="s">
        <v>36</v>
      </c>
      <c r="B29" t="s">
        <v>161</v>
      </c>
      <c r="C29" t="s">
        <v>162</v>
      </c>
      <c r="D29" t="s">
        <v>45</v>
      </c>
      <c r="E29" t="s">
        <v>163</v>
      </c>
      <c r="F29" t="s">
        <v>57</v>
      </c>
      <c r="G29" t="s">
        <v>63</v>
      </c>
      <c r="H29" t="s">
        <v>68</v>
      </c>
      <c r="I29" t="s">
        <v>103</v>
      </c>
    </row>
    <row r="30" spans="1:9" x14ac:dyDescent="0.25">
      <c r="A30" t="s">
        <v>37</v>
      </c>
      <c r="B30" t="s">
        <v>164</v>
      </c>
      <c r="C30" t="s">
        <v>165</v>
      </c>
      <c r="D30" t="s">
        <v>44</v>
      </c>
      <c r="E30" t="s">
        <v>120</v>
      </c>
      <c r="F30" t="s">
        <v>58</v>
      </c>
      <c r="G30" t="s">
        <v>64</v>
      </c>
      <c r="H30" t="s">
        <v>89</v>
      </c>
      <c r="I30" t="s">
        <v>166</v>
      </c>
    </row>
    <row r="31" spans="1:9" x14ac:dyDescent="0.25">
      <c r="A31" t="s">
        <v>38</v>
      </c>
      <c r="B31" t="s">
        <v>167</v>
      </c>
      <c r="C31" t="s">
        <v>168</v>
      </c>
      <c r="D31" t="s">
        <v>50</v>
      </c>
      <c r="E31" t="s">
        <v>82</v>
      </c>
      <c r="F31" t="s">
        <v>56</v>
      </c>
      <c r="G31" t="s">
        <v>63</v>
      </c>
      <c r="H31" t="s">
        <v>68</v>
      </c>
      <c r="I31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activeCell="B37" sqref="B37"/>
    </sheetView>
  </sheetViews>
  <sheetFormatPr defaultRowHeight="15" x14ac:dyDescent="0.25"/>
  <cols>
    <col min="1" max="1" width="20.42578125" bestFit="1" customWidth="1"/>
  </cols>
  <sheetData>
    <row r="1" spans="1:4" x14ac:dyDescent="0.25">
      <c r="A1" s="1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43</v>
      </c>
    </row>
    <row r="3" spans="1:4" x14ac:dyDescent="0.25">
      <c r="A3" t="s">
        <v>44</v>
      </c>
      <c r="B3">
        <v>40</v>
      </c>
      <c r="C3">
        <f>COUNTIF(Benchmark_Data!D:D,A3)</f>
        <v>16</v>
      </c>
      <c r="D3">
        <f t="shared" ref="D3:D10" si="0">B3-C3</f>
        <v>24</v>
      </c>
    </row>
    <row r="4" spans="1:4" x14ac:dyDescent="0.25">
      <c r="A4" t="s">
        <v>45</v>
      </c>
      <c r="B4">
        <v>20</v>
      </c>
      <c r="C4">
        <f>COUNTIF(Benchmark_Data!D:D,A4)</f>
        <v>3</v>
      </c>
      <c r="D4">
        <f t="shared" si="0"/>
        <v>17</v>
      </c>
    </row>
    <row r="5" spans="1:4" x14ac:dyDescent="0.25">
      <c r="A5" t="s">
        <v>46</v>
      </c>
      <c r="B5">
        <v>20</v>
      </c>
      <c r="C5">
        <f>COUNTIF(Benchmark_Data!D:D,A5)</f>
        <v>3</v>
      </c>
      <c r="D5">
        <f t="shared" si="0"/>
        <v>17</v>
      </c>
    </row>
    <row r="6" spans="1:4" x14ac:dyDescent="0.25">
      <c r="A6" t="s">
        <v>47</v>
      </c>
      <c r="B6">
        <v>20</v>
      </c>
      <c r="C6">
        <f>COUNTIF(Benchmark_Data!D:D,A6)</f>
        <v>2</v>
      </c>
      <c r="D6">
        <f t="shared" si="0"/>
        <v>18</v>
      </c>
    </row>
    <row r="7" spans="1:4" x14ac:dyDescent="0.25">
      <c r="A7" t="s">
        <v>48</v>
      </c>
      <c r="B7">
        <v>15</v>
      </c>
      <c r="C7">
        <f>COUNTIF(Benchmark_Data!D:D,A7)</f>
        <v>1</v>
      </c>
      <c r="D7">
        <f t="shared" si="0"/>
        <v>14</v>
      </c>
    </row>
    <row r="8" spans="1:4" x14ac:dyDescent="0.25">
      <c r="A8" t="s">
        <v>49</v>
      </c>
      <c r="B8">
        <v>15</v>
      </c>
      <c r="C8">
        <f>COUNTIF(Benchmark_Data!D:D,A8)</f>
        <v>2</v>
      </c>
      <c r="D8">
        <f t="shared" si="0"/>
        <v>13</v>
      </c>
    </row>
    <row r="9" spans="1:4" x14ac:dyDescent="0.25">
      <c r="A9" t="s">
        <v>50</v>
      </c>
      <c r="B9">
        <v>10</v>
      </c>
      <c r="C9">
        <f>COUNTIF(Benchmark_Data!D:D,A9)</f>
        <v>2</v>
      </c>
      <c r="D9">
        <f t="shared" si="0"/>
        <v>8</v>
      </c>
    </row>
    <row r="10" spans="1:4" x14ac:dyDescent="0.25">
      <c r="A10" t="s">
        <v>51</v>
      </c>
      <c r="B10">
        <v>10</v>
      </c>
      <c r="C10">
        <f>COUNTIF(Benchmark_Data!D:D,A10)</f>
        <v>1</v>
      </c>
      <c r="D10">
        <f t="shared" si="0"/>
        <v>9</v>
      </c>
    </row>
    <row r="12" spans="1:4" x14ac:dyDescent="0.25">
      <c r="A12" s="1" t="s">
        <v>52</v>
      </c>
    </row>
    <row r="14" spans="1:4" x14ac:dyDescent="0.25">
      <c r="A14" t="s">
        <v>53</v>
      </c>
      <c r="B14" t="s">
        <v>41</v>
      </c>
    </row>
    <row r="15" spans="1:4" x14ac:dyDescent="0.25">
      <c r="A15" t="s">
        <v>54</v>
      </c>
      <c r="B15">
        <v>35</v>
      </c>
      <c r="C15">
        <f>COUNTIF(Benchmark_Data!F:F,A15)</f>
        <v>5</v>
      </c>
      <c r="D15">
        <f t="shared" ref="D15:D20" si="1">B15-C15</f>
        <v>30</v>
      </c>
    </row>
    <row r="16" spans="1:4" x14ac:dyDescent="0.25">
      <c r="A16" t="s">
        <v>55</v>
      </c>
      <c r="B16">
        <v>25</v>
      </c>
      <c r="C16">
        <f>COUNTIF(Benchmark_Data!F:F,A16)</f>
        <v>5</v>
      </c>
      <c r="D16">
        <f t="shared" si="1"/>
        <v>20</v>
      </c>
    </row>
    <row r="17" spans="1:4" x14ac:dyDescent="0.25">
      <c r="A17" t="s">
        <v>56</v>
      </c>
      <c r="B17">
        <v>30</v>
      </c>
      <c r="C17">
        <f>COUNTIF(Benchmark_Data!F:F,A17)</f>
        <v>7</v>
      </c>
      <c r="D17">
        <f t="shared" si="1"/>
        <v>23</v>
      </c>
    </row>
    <row r="18" spans="1:4" x14ac:dyDescent="0.25">
      <c r="A18" t="s">
        <v>57</v>
      </c>
      <c r="B18">
        <v>25</v>
      </c>
      <c r="C18">
        <f>COUNTIF(Benchmark_Data!F:F,A18)</f>
        <v>3</v>
      </c>
      <c r="D18">
        <f t="shared" si="1"/>
        <v>22</v>
      </c>
    </row>
    <row r="19" spans="1:4" x14ac:dyDescent="0.25">
      <c r="A19" t="s">
        <v>58</v>
      </c>
      <c r="B19">
        <v>20</v>
      </c>
      <c r="C19">
        <f>COUNTIF(Benchmark_Data!F:F,A19)</f>
        <v>5</v>
      </c>
      <c r="D19">
        <f t="shared" si="1"/>
        <v>15</v>
      </c>
    </row>
    <row r="20" spans="1:4" x14ac:dyDescent="0.25">
      <c r="A20" t="s">
        <v>59</v>
      </c>
      <c r="B20">
        <v>15</v>
      </c>
      <c r="C20">
        <f>COUNTIF(Benchmark_Data!F:F,A20)</f>
        <v>5</v>
      </c>
      <c r="D20">
        <f t="shared" si="1"/>
        <v>10</v>
      </c>
    </row>
    <row r="22" spans="1:4" x14ac:dyDescent="0.25">
      <c r="A22" s="1" t="s">
        <v>60</v>
      </c>
    </row>
    <row r="24" spans="1:4" x14ac:dyDescent="0.25">
      <c r="A24" t="s">
        <v>61</v>
      </c>
      <c r="B24" t="s">
        <v>41</v>
      </c>
    </row>
    <row r="25" spans="1:4" x14ac:dyDescent="0.25">
      <c r="A25" t="s">
        <v>62</v>
      </c>
      <c r="B25">
        <v>65</v>
      </c>
      <c r="C25">
        <f>COUNTIF(Benchmark_Data!G:G,A25)</f>
        <v>5</v>
      </c>
      <c r="D25">
        <f>B25-C25</f>
        <v>60</v>
      </c>
    </row>
    <row r="26" spans="1:4" x14ac:dyDescent="0.25">
      <c r="A26" t="s">
        <v>63</v>
      </c>
      <c r="B26">
        <v>60</v>
      </c>
      <c r="C26">
        <f>COUNTIF(Benchmark_Data!G:G,A26)</f>
        <v>12</v>
      </c>
      <c r="D26">
        <f>B26-C26</f>
        <v>48</v>
      </c>
    </row>
    <row r="27" spans="1:4" x14ac:dyDescent="0.25">
      <c r="A27" t="s">
        <v>64</v>
      </c>
      <c r="B27">
        <v>25</v>
      </c>
      <c r="C27">
        <f>COUNTIF(Benchmark_Data!G:G,A27)</f>
        <v>13</v>
      </c>
      <c r="D27">
        <f>B27-C27</f>
        <v>12</v>
      </c>
    </row>
  </sheetData>
  <conditionalFormatting sqref="D3:D10">
    <cfRule type="expression" dxfId="2" priority="1">
      <formula>D3&lt;0</formula>
    </cfRule>
  </conditionalFormatting>
  <conditionalFormatting sqref="D14:D20">
    <cfRule type="expression" dxfId="1" priority="9">
      <formula>D14&lt;0</formula>
    </cfRule>
  </conditionalFormatting>
  <conditionalFormatting sqref="D24:D26">
    <cfRule type="expression" dxfId="0" priority="15">
      <formula>D24&lt;0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Benchmark_Data</vt:lpstr>
      <vt:lpstr>Distribution_Tracker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Preetish Majumdar</cp:lastModifiedBy>
  <dcterms:created xsi:type="dcterms:W3CDTF">2026-03-02T11:26:09Z</dcterms:created>
  <dcterms:modified xsi:type="dcterms:W3CDTF">2026-03-25T13:40:33Z</dcterms:modified>
</cp:coreProperties>
</file>